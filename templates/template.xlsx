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 spese" sheetId="1" r:id="rId4"/>
  </sheets>
  <definedNames>
    <definedName name="DataDiFine">'Nota spese'!$D$5</definedName>
    <definedName name="DataInizio">'Nota spese'!$D$4</definedName>
    <definedName name="CostoChilometrico">'Nota spese'!$H$3</definedName>
  </definedNames>
  <calcPr/>
  <extLst>
    <ext uri="GoogleSheetsCustomDataVersion2">
      <go:sheetsCustomData xmlns:go="http://customooxmlschemas.google.com/" r:id="rId5" roundtripDataChecksum="n7aFo3OaQaH//bfQMvRtquu/cfE0Mh/zVvxyt9mewgU="/>
    </ext>
  </extLst>
</workbook>
</file>

<file path=xl/sharedStrings.xml><?xml version="1.0" encoding="utf-8"?>
<sst xmlns="http://schemas.openxmlformats.org/spreadsheetml/2006/main" count="30" uniqueCount="30">
  <si>
    <t>Luca Martinelli</t>
  </si>
  <si>
    <t>Mayonese S.R.L.</t>
  </si>
  <si>
    <t xml:space="preserve">Strada Naviglio Alto 46/1, 42122, Parma (PR) </t>
  </si>
  <si>
    <t>TOTALE NOTA SPESE</t>
  </si>
  <si>
    <t>Periodo di rif.:</t>
  </si>
  <si>
    <t>01/07/26- 31/08/26</t>
  </si>
  <si>
    <t>Modello Auto</t>
  </si>
  <si>
    <t>Tesla elettrica H5LD Model 3</t>
  </si>
  <si>
    <t>Costo chilometrico:</t>
  </si>
  <si>
    <t>RIMB. CHILOMETRICO</t>
  </si>
  <si>
    <t>PEDAGGI</t>
  </si>
  <si>
    <t>Targa</t>
  </si>
  <si>
    <t>GX477ZP</t>
  </si>
  <si>
    <t>Rimborso Forfettario</t>
  </si>
  <si>
    <t xml:space="preserve">Cilindrata / CV </t>
  </si>
  <si>
    <t xml:space="preserve">1.600 cm³   /  80,56 kW </t>
  </si>
  <si>
    <t>PASTI/HOTEL/ALTRO</t>
  </si>
  <si>
    <t>RIMB.FORFETTARIO</t>
  </si>
  <si>
    <t>Alimentazione</t>
  </si>
  <si>
    <t>Elettrica</t>
  </si>
  <si>
    <t>Num</t>
  </si>
  <si>
    <t>Data</t>
  </si>
  <si>
    <t>Cliente/Progetto</t>
  </si>
  <si>
    <t>Descrizione</t>
  </si>
  <si>
    <t>Rimb. Forfettario</t>
  </si>
  <si>
    <t>Pedaggi</t>
  </si>
  <si>
    <t>KM Percorsi</t>
  </si>
  <si>
    <t>Rimb.Chilometrico</t>
  </si>
  <si>
    <t>Altro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</si>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</sst>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€&quot;\ #,##0.00"/>
    <numFmt numFmtId="165" formatCode="&quot;€&quot;\ #,##0.00&quot;/chilometro&quot;"/>
    <numFmt numFmtId="166" formatCode="D/M/YYYY"/>
    <numFmt numFmtId="167" formatCode="&quot;€&quot;\ #,##0.00&quot;/giorno&quot;"/>
    <numFmt numFmtId="168" formatCode="&quot;€&quot;\ #,##0.00&quot;/notte&quot;"/>
    <numFmt numFmtId="169" formatCode="d/m/yyyy"/>
    <numFmt numFmtId="170" formatCode="#,##0.0_)&quot; km&quot;;\(#,##0.0\)&quot; km&quot;"/>
    <numFmt numFmtId="171" formatCode="dd/mm/yyyy"/>
  </numFmts>
  <fonts count="23">
    <font>
      <sz val="11.0"/>
      <color rgb="FF000000"/>
      <name val="Quattrocento Sans"/>
      <scheme val="minor"/>
    </font>
    <font>
      <b/>
      <sz val="26.0"/>
      <color rgb="FF21464D"/>
      <name val="Quattrocento Sans"/>
    </font>
    <font/>
    <font>
      <b/>
      <sz val="14.0"/>
      <color theme="0"/>
      <name val="Quattrocento Sans"/>
    </font>
    <font>
      <sz val="11.0"/>
      <color theme="1"/>
      <name val="Quattrocento Sans"/>
    </font>
    <font>
      <b/>
      <sz val="16.0"/>
      <color theme="0"/>
      <name val="Quattrocento Sans"/>
    </font>
    <font>
      <sz val="11.0"/>
      <color rgb="FFFFFFFF"/>
      <name val="Quattrocento Sans"/>
    </font>
    <font>
      <sz val="11.0"/>
      <color theme="0"/>
      <name val="Quattrocento Sans"/>
    </font>
    <font>
      <b/>
      <sz val="11.0"/>
      <color theme="0"/>
      <name val="Quattrocento Sans"/>
    </font>
    <font>
      <b/>
      <sz val="11.0"/>
      <color rgb="FFFFFFFF"/>
      <name val="Quattrocento Sans"/>
    </font>
    <font>
      <b/>
      <sz val="14.0"/>
      <color rgb="FFFFFFFF"/>
      <name val="Quattrocento Sans"/>
    </font>
    <font>
      <sz val="11.0"/>
      <color rgb="FF000000"/>
      <name val="Quattrocento Sans"/>
    </font>
    <font>
      <color rgb="FF222222"/>
      <name val="Arial"/>
    </font>
    <font>
      <sz val="11.0"/>
      <color rgb="FFFF0000"/>
      <name val="Quattrocento Sans"/>
    </font>
    <font>
      <b/>
      <sz val="11.0"/>
      <color theme="1"/>
      <name val="Quattrocento Sans"/>
    </font>
    <font>
      <color rgb="FF000000"/>
      <name val="Arial"/>
    </font>
    <font>
      <b/>
      <sz val="11.0"/>
      <color rgb="FF000000"/>
      <name val="Quattrocento Sans"/>
    </font>
    <font>
      <color theme="1"/>
      <name val="Quattrocento Sans"/>
    </font>
    <font>
      <b/>
      <sz val="11.0"/>
      <color rgb="FF9900FF"/>
      <name val="Quattrocento Sans"/>
    </font>
    <font>
      <sz val="11.0"/>
      <color rgb="FF1A1A1A"/>
      <name val="Arial"/>
    </font>
    <font>
      <sz val="9.0"/>
      <color rgb="FF000000"/>
      <name val="Arial"/>
    </font>
    <font>
      <b/>
      <sz val="11.0"/>
      <color rgb="FFFF0000"/>
      <name val="Quattrocento Sans"/>
    </font>
    <font>
      <sz val="9.0"/>
      <color rgb="FF222222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86BFCA"/>
        <bgColor rgb="FF86BFCA"/>
      </patternFill>
    </fill>
    <fill>
      <patternFill patternType="solid">
        <fgColor rgb="FF21464D"/>
        <bgColor rgb="FF21464D"/>
      </patternFill>
    </fill>
    <fill>
      <patternFill patternType="solid">
        <fgColor rgb="FF5A5A5A"/>
        <bgColor rgb="FF5A5A5A"/>
      </patternFill>
    </fill>
    <fill>
      <patternFill patternType="solid">
        <fgColor rgb="FFEB75C8"/>
        <bgColor rgb="FFEB75C8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6E9ED"/>
        <bgColor rgb="FFD6E9ED"/>
      </patternFill>
    </fill>
    <fill>
      <patternFill patternType="solid">
        <fgColor theme="0"/>
        <bgColor theme="0"/>
      </patternFill>
    </fill>
  </fills>
  <borders count="22">
    <border/>
    <border>
      <left/>
      <top/>
    </border>
    <border>
      <top/>
    </border>
    <border>
      <left/>
      <top/>
      <bottom/>
    </border>
    <border>
      <top/>
      <bottom/>
    </border>
    <border>
      <left/>
      <right/>
      <top/>
      <bottom/>
    </border>
    <border>
      <left/>
      <bottom style="thick">
        <color rgb="FFD6E9ED"/>
      </bottom>
    </border>
    <border>
      <bottom style="thick">
        <color rgb="FFD6E9ED"/>
      </bottom>
    </border>
    <border>
      <left/>
      <top/>
      <bottom style="thick">
        <color rgb="FFD6E9ED"/>
      </bottom>
    </border>
    <border>
      <top/>
      <bottom style="thick">
        <color rgb="FFD6E9ED"/>
      </bottom>
    </border>
    <border>
      <right style="medium">
        <color rgb="FFD6E9ED"/>
      </right>
      <top/>
      <bottom/>
    </border>
    <border>
      <left style="medium">
        <color rgb="FFD6E9ED"/>
      </left>
      <right style="medium">
        <color rgb="FFD6E9ED"/>
      </right>
      <bottom style="medium">
        <color rgb="FFD6E9ED"/>
      </bottom>
    </border>
    <border>
      <left/>
      <right/>
      <bottom/>
    </border>
    <border>
      <left/>
      <top style="thick">
        <color rgb="FFD6E9ED"/>
      </top>
      <bottom/>
    </border>
    <border>
      <top style="thick">
        <color rgb="FFD6E9ED"/>
      </top>
      <bottom/>
    </border>
    <border>
      <left/>
      <right/>
      <top style="thin">
        <color rgb="FFD6E9ED"/>
      </top>
      <bottom style="thin">
        <color rgb="FFD6E9ED"/>
      </bottom>
    </border>
    <border>
      <left/>
      <right style="medium">
        <color rgb="FFD6E9ED"/>
      </right>
      <top style="medium">
        <color rgb="FFD6E9ED"/>
      </top>
      <bottom style="medium">
        <color rgb="FFD6E9ED"/>
      </bottom>
    </border>
    <border>
      <left/>
      <right/>
      <top style="thin">
        <color rgb="FFD6E9ED"/>
      </top>
      <bottom/>
    </border>
    <border>
      <left/>
      <right/>
      <top style="thin">
        <color rgb="FFD6E9ED"/>
      </top>
    </border>
    <border>
      <left/>
      <top style="medium">
        <color rgb="FFD6E9ED"/>
      </top>
      <bottom style="medium">
        <color rgb="FFD6E9E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3" fontId="3" numFmtId="0" xfId="0" applyAlignment="1" applyBorder="1" applyFill="1" applyFont="1">
      <alignment horizontal="left" vertical="center"/>
    </xf>
    <xf borderId="4" fillId="0" fontId="2" numFmtId="0" xfId="0" applyAlignment="1" applyBorder="1" applyFont="1">
      <alignment vertical="center"/>
    </xf>
    <xf borderId="5" fillId="3" fontId="4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3" fontId="3" numFmtId="0" xfId="0" applyAlignment="1" applyBorder="1" applyFont="1">
      <alignment horizontal="left" vertical="top"/>
    </xf>
    <xf borderId="9" fillId="0" fontId="2" numFmtId="0" xfId="0" applyAlignment="1" applyBorder="1" applyFont="1">
      <alignment vertical="center"/>
    </xf>
    <xf borderId="3" fillId="3" fontId="5" numFmtId="0" xfId="0" applyAlignment="1" applyBorder="1" applyFont="1">
      <alignment horizontal="right" vertical="center"/>
    </xf>
    <xf borderId="10" fillId="0" fontId="2" numFmtId="0" xfId="0" applyAlignment="1" applyBorder="1" applyFont="1">
      <alignment vertical="center"/>
    </xf>
    <xf borderId="11" fillId="3" fontId="3" numFmtId="164" xfId="0" applyAlignment="1" applyBorder="1" applyFont="1" applyNumberFormat="1">
      <alignment horizontal="right" vertical="center"/>
    </xf>
    <xf borderId="12" fillId="3" fontId="6" numFmtId="0" xfId="0" applyAlignment="1" applyBorder="1" applyFont="1">
      <alignment horizontal="left" vertical="center"/>
    </xf>
    <xf borderId="12" fillId="3" fontId="6" numFmtId="0" xfId="0" applyAlignment="1" applyBorder="1" applyFont="1">
      <alignment horizontal="left" readingOrder="0" vertical="center"/>
    </xf>
    <xf borderId="12" fillId="3" fontId="7" numFmtId="0" xfId="0" applyAlignment="1" applyBorder="1" applyFont="1">
      <alignment horizontal="right" vertical="center"/>
    </xf>
    <xf borderId="13" fillId="3" fontId="6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3" fillId="3" fontId="6" numFmtId="165" xfId="0" applyAlignment="1" applyBorder="1" applyFont="1" applyNumberFormat="1">
      <alignment horizontal="left" vertical="center"/>
    </xf>
    <xf borderId="5" fillId="3" fontId="8" numFmtId="0" xfId="0" applyAlignment="1" applyBorder="1" applyFont="1">
      <alignment vertical="bottom"/>
    </xf>
    <xf borderId="15" fillId="3" fontId="9" numFmtId="0" xfId="0" applyAlignment="1" applyBorder="1" applyFont="1">
      <alignment vertical="bottom"/>
    </xf>
    <xf borderId="12" fillId="3" fontId="8" numFmtId="0" xfId="0" applyAlignment="1" applyBorder="1" applyFont="1">
      <alignment vertical="bottom"/>
    </xf>
    <xf borderId="5" fillId="3" fontId="7" numFmtId="0" xfId="0" applyAlignment="1" applyBorder="1" applyFont="1">
      <alignment horizontal="right" vertical="center"/>
    </xf>
    <xf borderId="5" fillId="3" fontId="7" numFmtId="0" xfId="0" applyAlignment="1" applyBorder="1" applyFont="1">
      <alignment horizontal="left" vertical="center"/>
    </xf>
    <xf borderId="3" fillId="3" fontId="6" numFmtId="166" xfId="0" applyAlignment="1" applyBorder="1" applyFont="1" applyNumberFormat="1">
      <alignment vertical="center"/>
    </xf>
    <xf borderId="3" fillId="3" fontId="7" numFmtId="167" xfId="0" applyAlignment="1" applyBorder="1" applyFont="1" applyNumberFormat="1">
      <alignment horizontal="left" vertical="center"/>
    </xf>
    <xf borderId="16" fillId="4" fontId="3" numFmtId="164" xfId="0" applyAlignment="1" applyBorder="1" applyFill="1" applyFont="1" applyNumberFormat="1">
      <alignment horizontal="right" vertical="center"/>
    </xf>
    <xf borderId="16" fillId="5" fontId="3" numFmtId="164" xfId="0" applyAlignment="1" applyBorder="1" applyFill="1" applyFont="1" applyNumberFormat="1">
      <alignment horizontal="right" vertical="center"/>
    </xf>
    <xf borderId="3" fillId="3" fontId="7" numFmtId="168" xfId="0" applyAlignment="1" applyBorder="1" applyFont="1" applyNumberFormat="1">
      <alignment horizontal="left" vertical="center"/>
    </xf>
    <xf borderId="17" fillId="3" fontId="8" numFmtId="0" xfId="0" applyAlignment="1" applyBorder="1" applyFont="1">
      <alignment vertical="bottom"/>
    </xf>
    <xf borderId="18" fillId="3" fontId="9" numFmtId="0" xfId="0" applyAlignment="1" applyBorder="1" applyFont="1">
      <alignment vertical="bottom"/>
    </xf>
    <xf borderId="3" fillId="3" fontId="6" numFmtId="0" xfId="0" applyAlignment="1" applyBorder="1" applyFont="1">
      <alignment vertical="center"/>
    </xf>
    <xf borderId="19" fillId="6" fontId="3" numFmtId="164" xfId="0" applyAlignment="1" applyBorder="1" applyFill="1" applyFont="1" applyNumberFormat="1">
      <alignment horizontal="right" vertical="center"/>
    </xf>
    <xf borderId="20" fillId="7" fontId="10" numFmtId="164" xfId="0" applyAlignment="1" applyBorder="1" applyFill="1" applyFont="1" applyNumberFormat="1">
      <alignment vertical="center"/>
    </xf>
    <xf borderId="12" fillId="3" fontId="4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1" numFmtId="169" xfId="0" applyAlignment="1" applyFont="1" applyNumberForma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8" fontId="12" numFmtId="0" xfId="0" applyAlignment="1" applyFill="1" applyFont="1">
      <alignment vertical="center"/>
    </xf>
    <xf borderId="0" fillId="0" fontId="11" numFmtId="164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4" numFmtId="170" xfId="0" applyAlignment="1" applyFont="1" applyNumberFormat="1">
      <alignment horizontal="right" vertical="center"/>
    </xf>
    <xf borderId="0" fillId="0" fontId="13" numFmtId="164" xfId="0" applyAlignment="1" applyFont="1" applyNumberFormat="1">
      <alignment horizontal="right" vertical="center"/>
    </xf>
    <xf borderId="0" fillId="0" fontId="14" numFmtId="164" xfId="0" applyAlignment="1" applyFont="1" applyNumberFormat="1">
      <alignment horizontal="right" vertical="center"/>
    </xf>
    <xf borderId="0" fillId="0" fontId="14" numFmtId="0" xfId="0" applyAlignment="1" applyFont="1">
      <alignment horizontal="right" vertical="center"/>
    </xf>
    <xf borderId="0" fillId="9" fontId="4" numFmtId="0" xfId="0" applyAlignment="1" applyFill="1" applyFont="1">
      <alignment horizontal="left" vertical="center"/>
    </xf>
    <xf borderId="0" fillId="9" fontId="11" numFmtId="166" xfId="0" applyAlignment="1" applyFont="1" applyNumberFormat="1">
      <alignment horizontal="left" vertical="center"/>
    </xf>
    <xf borderId="0" fillId="9" fontId="13" numFmtId="0" xfId="0" applyAlignment="1" applyFont="1">
      <alignment horizontal="left" shrinkToFit="0" vertical="center" wrapText="1"/>
    </xf>
    <xf borderId="0" fillId="9" fontId="15" numFmtId="0" xfId="0" applyAlignment="1" applyFont="1">
      <alignment vertical="center"/>
    </xf>
    <xf borderId="0" fillId="9" fontId="11" numFmtId="164" xfId="0" applyAlignment="1" applyFont="1" applyNumberFormat="1">
      <alignment horizontal="right" vertical="center"/>
    </xf>
    <xf borderId="0" fillId="9" fontId="4" numFmtId="164" xfId="0" applyAlignment="1" applyFont="1" applyNumberFormat="1">
      <alignment horizontal="right" vertical="center"/>
    </xf>
    <xf borderId="0" fillId="9" fontId="4" numFmtId="170" xfId="0" applyAlignment="1" applyFont="1" applyNumberFormat="1">
      <alignment horizontal="right" vertical="center"/>
    </xf>
    <xf borderId="0" fillId="9" fontId="13" numFmtId="164" xfId="0" applyAlignment="1" applyFont="1" applyNumberFormat="1">
      <alignment horizontal="right" vertical="center"/>
    </xf>
    <xf borderId="0" fillId="9" fontId="14" numFmtId="164" xfId="0" applyAlignment="1" applyFont="1" applyNumberFormat="1">
      <alignment horizontal="right" vertical="center"/>
    </xf>
    <xf borderId="0" fillId="9" fontId="14" numFmtId="0" xfId="0" applyAlignment="1" applyFont="1">
      <alignment horizontal="right" vertical="center"/>
    </xf>
    <xf borderId="0" fillId="9" fontId="4" numFmtId="0" xfId="0" applyAlignment="1" applyFont="1">
      <alignment vertical="center"/>
    </xf>
    <xf borderId="0" fillId="8" fontId="11" numFmtId="0" xfId="0" applyAlignment="1" applyFont="1">
      <alignment horizontal="left" vertical="center"/>
    </xf>
    <xf borderId="0" fillId="8" fontId="11" numFmtId="169" xfId="0" applyAlignment="1" applyFont="1" applyNumberFormat="1">
      <alignment horizontal="left" vertical="center"/>
    </xf>
    <xf borderId="0" fillId="8" fontId="11" numFmtId="0" xfId="0" applyAlignment="1" applyFont="1">
      <alignment vertical="center"/>
    </xf>
    <xf borderId="0" fillId="8" fontId="15" numFmtId="0" xfId="0" applyAlignment="1" applyFont="1">
      <alignment vertical="center"/>
    </xf>
    <xf borderId="0" fillId="8" fontId="11" numFmtId="164" xfId="0" applyAlignment="1" applyFont="1" applyNumberFormat="1">
      <alignment horizontal="right" vertical="center"/>
    </xf>
    <xf borderId="0" fillId="8" fontId="13" numFmtId="170" xfId="0" applyAlignment="1" applyFont="1" applyNumberFormat="1">
      <alignment horizontal="right" vertical="center"/>
    </xf>
    <xf borderId="0" fillId="8" fontId="13" numFmtId="164" xfId="0" applyAlignment="1" applyFont="1" applyNumberFormat="1">
      <alignment horizontal="right" vertical="center"/>
    </xf>
    <xf borderId="0" fillId="8" fontId="16" numFmtId="164" xfId="0" applyAlignment="1" applyFont="1" applyNumberFormat="1">
      <alignment horizontal="right" vertical="center"/>
    </xf>
    <xf borderId="0" fillId="8" fontId="16" numFmtId="0" xfId="0" applyAlignment="1" applyFont="1">
      <alignment horizontal="right" vertical="center"/>
    </xf>
    <xf borderId="0" fillId="8" fontId="11" numFmtId="0" xfId="0" applyAlignment="1" applyFont="1">
      <alignment vertical="center"/>
    </xf>
    <xf borderId="0" fillId="9" fontId="11" numFmtId="0" xfId="0" applyAlignment="1" applyFont="1">
      <alignment horizontal="left" shrinkToFit="0" vertical="center" wrapText="1"/>
    </xf>
    <xf borderId="0" fillId="8" fontId="4" numFmtId="170" xfId="0" applyAlignment="1" applyFont="1" applyNumberFormat="1">
      <alignment horizontal="right" vertical="center"/>
    </xf>
    <xf borderId="0" fillId="9" fontId="11" numFmtId="169" xfId="0" applyAlignment="1" applyFont="1" applyNumberFormat="1">
      <alignment horizontal="left" vertical="center"/>
    </xf>
    <xf borderId="0" fillId="9" fontId="17" numFmtId="0" xfId="0" applyAlignment="1" applyFont="1">
      <alignment vertical="center"/>
    </xf>
    <xf borderId="0" fillId="0" fontId="11" numFmtId="171" xfId="0" applyAlignment="1" applyFont="1" applyNumberFormat="1">
      <alignment horizontal="left" vertical="center"/>
    </xf>
    <xf borderId="0" fillId="8" fontId="4" numFmtId="0" xfId="0" applyAlignment="1" applyFont="1">
      <alignment horizontal="left" vertical="center"/>
    </xf>
    <xf borderId="0" fillId="9" fontId="11" numFmtId="0" xfId="0" applyAlignment="1" applyFont="1">
      <alignment horizontal="left" vertical="center"/>
    </xf>
    <xf borderId="0" fillId="9" fontId="18" numFmtId="0" xfId="0" applyAlignment="1" applyFont="1">
      <alignment horizontal="left" vertical="center"/>
    </xf>
    <xf borderId="0" fillId="8" fontId="13" numFmtId="0" xfId="0" applyAlignment="1" applyFont="1">
      <alignment horizontal="left" shrinkToFit="0" vertical="center" wrapText="1"/>
    </xf>
    <xf borderId="0" fillId="8" fontId="19" numFmtId="0" xfId="0" applyAlignment="1" applyFont="1">
      <alignment vertical="center"/>
    </xf>
    <xf borderId="0" fillId="8" fontId="4" numFmtId="164" xfId="0" applyAlignment="1" applyFont="1" applyNumberFormat="1">
      <alignment horizontal="right" vertical="center"/>
    </xf>
    <xf borderId="0" fillId="8" fontId="14" numFmtId="164" xfId="0" applyAlignment="1" applyFont="1" applyNumberFormat="1">
      <alignment horizontal="right" vertical="center"/>
    </xf>
    <xf borderId="0" fillId="8" fontId="18" numFmtId="0" xfId="0" applyAlignment="1" applyFont="1">
      <alignment horizontal="left" vertical="center"/>
    </xf>
    <xf borderId="0" fillId="8" fontId="4" numFmtId="0" xfId="0" applyAlignment="1" applyFont="1">
      <alignment vertical="center"/>
    </xf>
    <xf borderId="0" fillId="9" fontId="13" numFmtId="0" xfId="0" applyAlignment="1" applyFont="1">
      <alignment horizontal="left" vertical="center"/>
    </xf>
    <xf borderId="0" fillId="9" fontId="19" numFmtId="0" xfId="0" applyAlignment="1" applyFont="1">
      <alignment vertical="center"/>
    </xf>
    <xf borderId="0" fillId="8" fontId="13" numFmtId="0" xfId="0" applyAlignment="1" applyFont="1">
      <alignment horizontal="left" vertical="center"/>
    </xf>
    <xf borderId="0" fillId="8" fontId="11" numFmtId="171" xfId="0" applyAlignment="1" applyFont="1" applyNumberFormat="1">
      <alignment horizontal="left" vertical="center"/>
    </xf>
    <xf borderId="0" fillId="8" fontId="11" numFmtId="0" xfId="0" applyAlignment="1" applyFont="1">
      <alignment horizontal="left" shrinkToFit="0" vertical="center" wrapText="1"/>
    </xf>
    <xf borderId="0" fillId="8" fontId="14" numFmtId="0" xfId="0" applyAlignment="1" applyFont="1">
      <alignment horizontal="right" vertical="center"/>
    </xf>
    <xf borderId="0" fillId="8" fontId="17" numFmtId="0" xfId="0" applyAlignment="1" applyFont="1">
      <alignment vertical="center"/>
    </xf>
    <xf borderId="0" fillId="10" fontId="14" numFmtId="164" xfId="0" applyAlignment="1" applyFill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166" xfId="0" applyAlignment="1" applyFont="1" applyNumberForma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8" fontId="20" numFmtId="0" xfId="0" applyAlignment="1" applyFont="1">
      <alignment vertical="center"/>
    </xf>
    <xf borderId="21" fillId="0" fontId="14" numFmtId="164" xfId="0" applyAlignment="1" applyBorder="1" applyFont="1" applyNumberFormat="1">
      <alignment horizontal="right" vertical="center"/>
    </xf>
    <xf borderId="0" fillId="0" fontId="4" numFmtId="170" xfId="0" applyAlignment="1" applyFont="1" applyNumberFormat="1">
      <alignment horizontal="right" vertical="center"/>
    </xf>
    <xf borderId="21" fillId="8" fontId="21" numFmtId="164" xfId="0" applyAlignment="1" applyBorder="1" applyFont="1" applyNumberFormat="1">
      <alignment horizontal="right" vertical="center"/>
    </xf>
    <xf borderId="21" fillId="8" fontId="14" numFmtId="164" xfId="0" applyAlignment="1" applyBorder="1" applyFont="1" applyNumberFormat="1">
      <alignment horizontal="right" vertical="center"/>
    </xf>
    <xf borderId="0" fillId="8" fontId="22" numFmtId="0" xfId="0" applyAlignment="1" applyFont="1">
      <alignment vertical="center"/>
    </xf>
    <xf borderId="0" fillId="0" fontId="4" numFmtId="164" xfId="0" applyAlignment="1" applyFont="1" applyNumberFormat="1">
      <alignment horizontal="right" vertical="center"/>
    </xf>
    <xf borderId="0" fillId="8" fontId="13" numFmtId="164" xfId="0" applyAlignment="1" applyFont="1" applyNumberFormat="1">
      <alignment horizontal="right" vertical="center"/>
    </xf>
    <xf borderId="0" fillId="8" fontId="14" numFmtId="164" xfId="0" applyAlignment="1" applyFont="1" applyNumberFormat="1">
      <alignment horizontal="right" vertical="center"/>
    </xf>
    <xf borderId="0" fillId="0" fontId="13" numFmtId="164" xfId="0" applyAlignment="1" applyFont="1" applyNumberFormat="1">
      <alignment horizontal="right" vertical="center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6E9ED"/>
          <bgColor rgb="FFD6E9ED"/>
        </patternFill>
      </fill>
      <border/>
    </dxf>
    <dxf>
      <font>
        <color rgb="FFFF0000"/>
      </font>
      <fill>
        <patternFill patternType="none"/>
      </fill>
      <border/>
    </dxf>
    <dxf>
      <font>
        <color theme="0"/>
      </font>
      <fill>
        <patternFill patternType="none"/>
      </fill>
      <border/>
    </dxf>
  </dxfs>
  <tableStyles count="1">
    <tableStyle count="3" pivot="0" name="Nota spese-style">
      <tableStyleElement dxfId="1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:K26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Nota spe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38C9B"/>
      </a:accent1>
      <a:accent2>
        <a:srgbClr val="DA1FA2"/>
      </a:accent2>
      <a:accent3>
        <a:srgbClr val="F2C911"/>
      </a:accent3>
      <a:accent4>
        <a:srgbClr val="6D5CA7"/>
      </a:accent4>
      <a:accent5>
        <a:srgbClr val="F44A4A"/>
      </a:accent5>
      <a:accent6>
        <a:srgbClr val="759D33"/>
      </a:accent6>
      <a:hlink>
        <a:srgbClr val="6D5CA7"/>
      </a:hlink>
      <a:folHlink>
        <a:srgbClr val="6D5CA7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2" max="2" width="17.75"/>
    <col customWidth="1" min="3" max="3" width="21.38"/>
    <col customWidth="1" min="4" max="4" width="34.25"/>
    <col customWidth="1" min="5" max="5" width="16.75"/>
    <col customWidth="1" min="6" max="6" width="8.5"/>
    <col customWidth="1" min="7" max="7" width="17.63"/>
    <col customWidth="1" min="8" max="8" width="17.38"/>
    <col customWidth="1" min="9" max="9" width="15.88"/>
    <col customWidth="1" min="10" max="10" width="16.38"/>
    <col customWidth="1" min="11" max="11" width="24.13"/>
    <col customWidth="1" min="12" max="12" width="26.13"/>
    <col customWidth="1" min="13" max="13" width="0.13"/>
    <col customWidth="1" min="14" max="27" width="7.88"/>
  </cols>
  <sheetData>
    <row r="1" ht="25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5"/>
    </row>
    <row r="2" ht="28.5" customHeight="1">
      <c r="A2" s="6"/>
      <c r="B2" s="7"/>
      <c r="C2" s="8" t="s">
        <v>2</v>
      </c>
      <c r="D2" s="9"/>
      <c r="E2" s="9"/>
      <c r="F2" s="9"/>
      <c r="G2" s="9"/>
      <c r="H2" s="10" t="s">
        <v>3</v>
      </c>
      <c r="I2" s="4"/>
      <c r="J2" s="11"/>
      <c r="K2" s="12">
        <f>K4+L4+K6+L6</f>
        <v>0</v>
      </c>
      <c r="L2" s="5"/>
    </row>
    <row r="3" ht="24.0" customHeight="1">
      <c r="A3" s="13" t="s">
        <v>4</v>
      </c>
      <c r="B3" s="14" t="s">
        <v>5</v>
      </c>
      <c r="C3" s="15" t="s">
        <v>6</v>
      </c>
      <c r="D3" s="16" t="s">
        <v>7</v>
      </c>
      <c r="E3" s="17"/>
      <c r="F3" s="17"/>
      <c r="G3" s="15" t="s">
        <v>8</v>
      </c>
      <c r="H3" s="18">
        <v>0.4</v>
      </c>
      <c r="I3" s="4"/>
      <c r="J3" s="19"/>
      <c r="K3" s="20" t="s">
        <v>9</v>
      </c>
      <c r="L3" s="21" t="s">
        <v>10</v>
      </c>
    </row>
    <row r="4" ht="24.0" customHeight="1">
      <c r="A4" s="22"/>
      <c r="B4" s="23"/>
      <c r="C4" s="22" t="s">
        <v>11</v>
      </c>
      <c r="D4" s="24" t="s">
        <v>12</v>
      </c>
      <c r="E4" s="4"/>
      <c r="F4" s="4"/>
      <c r="G4" s="22" t="s">
        <v>13</v>
      </c>
      <c r="H4" s="25">
        <v>15.0</v>
      </c>
      <c r="I4" s="4"/>
      <c r="J4" s="19"/>
      <c r="K4" s="26">
        <f>H27</f>
        <v>0</v>
      </c>
      <c r="L4" s="27">
        <f>F27</f>
        <v>0</v>
      </c>
    </row>
    <row r="5" ht="24.0" customHeight="1">
      <c r="A5" s="22"/>
      <c r="B5" s="23"/>
      <c r="C5" s="22" t="s">
        <v>14</v>
      </c>
      <c r="D5" s="24" t="s">
        <v>15</v>
      </c>
      <c r="E5" s="4"/>
      <c r="F5" s="4"/>
      <c r="G5" s="22"/>
      <c r="H5" s="28"/>
      <c r="I5" s="4"/>
      <c r="J5" s="19"/>
      <c r="K5" s="29" t="s">
        <v>16</v>
      </c>
      <c r="L5" s="30" t="s">
        <v>17</v>
      </c>
    </row>
    <row r="6" ht="24.0" customHeight="1">
      <c r="A6" s="22"/>
      <c r="B6" s="23"/>
      <c r="C6" s="22" t="s">
        <v>18</v>
      </c>
      <c r="D6" s="31" t="s">
        <v>19</v>
      </c>
      <c r="E6" s="4"/>
      <c r="F6" s="4"/>
      <c r="G6" s="22"/>
      <c r="H6" s="23"/>
      <c r="I6" s="23"/>
      <c r="J6" s="19"/>
      <c r="K6" s="32">
        <f>I27</f>
        <v>0</v>
      </c>
      <c r="L6" s="33">
        <f>E27</f>
        <v>0</v>
      </c>
    </row>
    <row r="7" ht="12.75" customHeight="1">
      <c r="A7" s="22"/>
      <c r="B7" s="23"/>
      <c r="C7" s="22"/>
      <c r="D7" s="23"/>
      <c r="E7" s="23"/>
      <c r="F7" s="5"/>
      <c r="G7" s="22"/>
      <c r="H7" s="23"/>
      <c r="I7" s="23"/>
      <c r="J7" s="5"/>
      <c r="K7" s="5"/>
      <c r="L7" s="34"/>
    </row>
    <row r="8" ht="24.0" customHeight="1">
      <c r="A8" s="35" t="s">
        <v>20</v>
      </c>
      <c r="B8" s="35" t="s">
        <v>21</v>
      </c>
      <c r="C8" s="36" t="s">
        <v>22</v>
      </c>
      <c r="D8" s="36" t="s">
        <v>23</v>
      </c>
      <c r="E8" s="37" t="s">
        <v>24</v>
      </c>
      <c r="F8" s="37" t="s">
        <v>25</v>
      </c>
      <c r="G8" s="37" t="s">
        <v>26</v>
      </c>
      <c r="H8" s="37" t="s">
        <v>27</v>
      </c>
      <c r="I8" s="37" t="s">
        <v>28</v>
      </c>
      <c r="J8" s="37" t="s">
        <v>29</v>
      </c>
      <c r="K8" s="37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33.75" customHeight="1">
      <c r="A9" s="39">
        <v>1.0</v>
      </c>
      <c r="B9" s="40"/>
      <c r="C9" s="41"/>
      <c r="D9" s="42"/>
      <c r="E9" s="43"/>
      <c r="F9" s="44"/>
      <c r="G9" s="45"/>
      <c r="H9" s="46">
        <f>'Nota spese'!$G9*CostoChilometrico</f>
        <v>0</v>
      </c>
      <c r="I9" s="44"/>
      <c r="J9" s="47">
        <f t="shared" ref="J9:J26" si="1">E9+F9+H9+I9</f>
        <v>0</v>
      </c>
      <c r="K9" s="4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ht="33.75" customHeight="1">
      <c r="A10" s="49">
        <v>2.0</v>
      </c>
      <c r="B10" s="50"/>
      <c r="C10" s="51"/>
      <c r="D10" s="52"/>
      <c r="E10" s="53"/>
      <c r="F10" s="54"/>
      <c r="G10" s="55"/>
      <c r="H10" s="56">
        <f>'Nota spese'!$G10*CostoChilometrico</f>
        <v>0</v>
      </c>
      <c r="I10" s="54"/>
      <c r="J10" s="57">
        <f t="shared" si="1"/>
        <v>0</v>
      </c>
      <c r="K10" s="58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ht="33.75" customHeight="1">
      <c r="A11" s="60">
        <v>3.0</v>
      </c>
      <c r="B11" s="61"/>
      <c r="C11" s="62"/>
      <c r="D11" s="63"/>
      <c r="E11" s="64"/>
      <c r="F11" s="64"/>
      <c r="G11" s="65"/>
      <c r="H11" s="66">
        <f>'Nota spese'!$G11*CostoChilometrico</f>
        <v>0</v>
      </c>
      <c r="I11" s="64"/>
      <c r="J11" s="67">
        <f t="shared" si="1"/>
        <v>0</v>
      </c>
      <c r="K11" s="68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ht="33.75" customHeight="1">
      <c r="A12" s="49">
        <v>4.0</v>
      </c>
      <c r="B12" s="50"/>
      <c r="C12" s="70"/>
      <c r="D12" s="52"/>
      <c r="E12" s="53"/>
      <c r="F12" s="54"/>
      <c r="G12" s="55"/>
      <c r="H12" s="56">
        <f>'Nota spese'!$G12*CostoChilometrico</f>
        <v>0</v>
      </c>
      <c r="I12" s="54"/>
      <c r="J12" s="57">
        <f t="shared" si="1"/>
        <v>0</v>
      </c>
      <c r="K12" s="58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ht="41.25" customHeight="1">
      <c r="A13" s="35">
        <v>5.0</v>
      </c>
      <c r="B13" s="50"/>
      <c r="C13" s="62"/>
      <c r="D13" s="63"/>
      <c r="E13" s="43"/>
      <c r="F13" s="44"/>
      <c r="G13" s="71"/>
      <c r="H13" s="46">
        <f>'Nota spese'!$G13*CostoChilometrico</f>
        <v>0</v>
      </c>
      <c r="I13" s="44"/>
      <c r="J13" s="47">
        <f t="shared" si="1"/>
        <v>0</v>
      </c>
      <c r="K13" s="4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ht="33.75" customHeight="1">
      <c r="A14" s="49">
        <v>6.0</v>
      </c>
      <c r="B14" s="72"/>
      <c r="C14" s="70"/>
      <c r="D14" s="52"/>
      <c r="E14" s="53"/>
      <c r="F14" s="54"/>
      <c r="G14" s="55"/>
      <c r="H14" s="56">
        <f>'Nota spese'!$G14*CostoChilometrico</f>
        <v>0</v>
      </c>
      <c r="I14" s="54"/>
      <c r="J14" s="57">
        <f t="shared" si="1"/>
        <v>0</v>
      </c>
      <c r="K14" s="58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ht="33.75" customHeight="1">
      <c r="A15" s="35">
        <v>7.0</v>
      </c>
      <c r="B15" s="74"/>
      <c r="C15" s="41"/>
      <c r="D15" s="63"/>
      <c r="E15" s="43"/>
      <c r="F15" s="44"/>
      <c r="G15" s="45"/>
      <c r="H15" s="46">
        <f>'Nota spese'!$G15*CostoChilometrico</f>
        <v>0</v>
      </c>
      <c r="I15" s="44"/>
      <c r="J15" s="47">
        <f t="shared" si="1"/>
        <v>0</v>
      </c>
      <c r="K15" s="48"/>
    </row>
    <row r="16" ht="33.75" customHeight="1">
      <c r="A16" s="75">
        <v>8.0</v>
      </c>
      <c r="B16" s="76"/>
      <c r="C16" s="70"/>
      <c r="D16" s="52"/>
      <c r="E16" s="53"/>
      <c r="F16" s="54"/>
      <c r="G16" s="55"/>
      <c r="H16" s="46">
        <f>'Nota spese'!$G16*CostoChilometrico</f>
        <v>0</v>
      </c>
      <c r="I16" s="53"/>
      <c r="J16" s="57">
        <f t="shared" si="1"/>
        <v>0</v>
      </c>
      <c r="K16" s="77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 ht="33.75" customHeight="1">
      <c r="A17" s="60">
        <v>9.0</v>
      </c>
      <c r="B17" s="61"/>
      <c r="C17" s="78"/>
      <c r="D17" s="79"/>
      <c r="E17" s="64"/>
      <c r="F17" s="80"/>
      <c r="G17" s="71"/>
      <c r="H17" s="46">
        <f>'Nota spese'!$G17*CostoChilometrico</f>
        <v>0</v>
      </c>
      <c r="I17" s="64"/>
      <c r="J17" s="81">
        <f t="shared" si="1"/>
        <v>0</v>
      </c>
      <c r="K17" s="82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 ht="33.75" customHeight="1">
      <c r="A18" s="84">
        <v>10.0</v>
      </c>
      <c r="B18" s="72"/>
      <c r="C18" s="70"/>
      <c r="D18" s="85"/>
      <c r="E18" s="53"/>
      <c r="F18" s="54"/>
      <c r="G18" s="55"/>
      <c r="H18" s="56">
        <f>'Nota spese'!$G18*CostoChilometrico</f>
        <v>0</v>
      </c>
      <c r="I18" s="54"/>
      <c r="J18" s="57">
        <f t="shared" si="1"/>
        <v>0</v>
      </c>
      <c r="K18" s="58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 ht="33.75" customHeight="1">
      <c r="A19" s="86">
        <v>11.0</v>
      </c>
      <c r="B19" s="87"/>
      <c r="C19" s="88"/>
      <c r="D19" s="63"/>
      <c r="E19" s="64"/>
      <c r="F19" s="80"/>
      <c r="G19" s="71"/>
      <c r="H19" s="46">
        <f>'Nota spese'!$G19*CostoChilometrico</f>
        <v>0</v>
      </c>
      <c r="I19" s="64"/>
      <c r="J19" s="81">
        <f t="shared" si="1"/>
        <v>0</v>
      </c>
      <c r="K19" s="82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 ht="33.75" customHeight="1">
      <c r="A20" s="84">
        <v>12.0</v>
      </c>
      <c r="B20" s="72"/>
      <c r="C20" s="70"/>
      <c r="D20" s="52"/>
      <c r="E20" s="53"/>
      <c r="F20" s="54"/>
      <c r="G20" s="55"/>
      <c r="H20" s="56">
        <f>'Nota spese'!$G20*CostoChilometrico</f>
        <v>0</v>
      </c>
      <c r="I20" s="54"/>
      <c r="J20" s="57">
        <f t="shared" si="1"/>
        <v>0</v>
      </c>
      <c r="K20" s="58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ht="33.75" customHeight="1">
      <c r="A21" s="86">
        <v>13.0</v>
      </c>
      <c r="B21" s="61"/>
      <c r="C21" s="88"/>
      <c r="D21" s="63"/>
      <c r="E21" s="64"/>
      <c r="F21" s="80"/>
      <c r="G21" s="71"/>
      <c r="H21" s="46">
        <f>'Nota spese'!$G21*CostoChilometrico</f>
        <v>0</v>
      </c>
      <c r="I21" s="80"/>
      <c r="J21" s="81">
        <f t="shared" si="1"/>
        <v>0</v>
      </c>
      <c r="K21" s="89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</row>
    <row r="22" ht="33.75" customHeight="1">
      <c r="A22" s="84">
        <v>14.0</v>
      </c>
      <c r="B22" s="72"/>
      <c r="C22" s="70"/>
      <c r="D22" s="52"/>
      <c r="E22" s="53"/>
      <c r="F22" s="54"/>
      <c r="G22" s="55"/>
      <c r="H22" s="56">
        <f>'Nota spese'!$G22*CostoChilometrico</f>
        <v>0</v>
      </c>
      <c r="I22" s="54"/>
      <c r="J22" s="57">
        <f t="shared" si="1"/>
        <v>0</v>
      </c>
      <c r="K22" s="58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ht="33.75" customHeight="1">
      <c r="A23" s="86">
        <v>15.0</v>
      </c>
      <c r="B23" s="61"/>
      <c r="C23" s="88"/>
      <c r="D23" s="63"/>
      <c r="E23" s="64"/>
      <c r="F23" s="80"/>
      <c r="G23" s="71"/>
      <c r="H23" s="56">
        <f>'Nota spese'!$G23*CostoChilometrico</f>
        <v>0</v>
      </c>
      <c r="I23" s="80"/>
      <c r="J23" s="57">
        <f t="shared" si="1"/>
        <v>0</v>
      </c>
      <c r="K23" s="89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 ht="33.75" customHeight="1">
      <c r="A24" s="84">
        <v>16.0</v>
      </c>
      <c r="B24" s="72"/>
      <c r="C24" s="70"/>
      <c r="D24" s="52"/>
      <c r="E24" s="53"/>
      <c r="F24" s="54"/>
      <c r="G24" s="55"/>
      <c r="H24" s="56">
        <f>'Nota spese'!$G24*CostoChilometrico</f>
        <v>0</v>
      </c>
      <c r="I24" s="54"/>
      <c r="J24" s="57">
        <f t="shared" si="1"/>
        <v>0</v>
      </c>
      <c r="K24" s="58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 ht="33.75" customHeight="1">
      <c r="A25" s="86">
        <v>17.0</v>
      </c>
      <c r="B25" s="61"/>
      <c r="C25" s="88"/>
      <c r="D25" s="63"/>
      <c r="E25" s="64"/>
      <c r="F25" s="80"/>
      <c r="G25" s="71"/>
      <c r="H25" s="56">
        <f>'Nota spese'!$G25*CostoChilometrico</f>
        <v>0</v>
      </c>
      <c r="I25" s="80"/>
      <c r="J25" s="91">
        <f t="shared" si="1"/>
        <v>0</v>
      </c>
      <c r="K25" s="89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 ht="33.75" customHeight="1">
      <c r="A26" s="86">
        <v>18.0</v>
      </c>
      <c r="B26" s="60"/>
      <c r="C26" s="88"/>
      <c r="D26" s="52"/>
      <c r="E26" s="64"/>
      <c r="F26" s="80"/>
      <c r="G26" s="71"/>
      <c r="H26" s="56">
        <f>'Nota spese'!$G26*CostoChilometrico</f>
        <v>0</v>
      </c>
      <c r="I26" s="80"/>
      <c r="J26" s="57">
        <f t="shared" si="1"/>
        <v>0</v>
      </c>
      <c r="K26" s="89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</row>
    <row r="27" ht="33.75" customHeight="1">
      <c r="A27" s="92"/>
      <c r="B27" s="93"/>
      <c r="C27" s="94"/>
      <c r="D27" s="95"/>
      <c r="E27" s="96">
        <f t="shared" ref="E27:F27" si="2">SUM(E9:E26)</f>
        <v>0</v>
      </c>
      <c r="F27" s="96">
        <f t="shared" si="2"/>
        <v>0</v>
      </c>
      <c r="G27" s="97"/>
      <c r="H27" s="98">
        <f t="shared" ref="H27:J27" si="3">SUM(H9:H26)</f>
        <v>0</v>
      </c>
      <c r="I27" s="96">
        <f t="shared" si="3"/>
        <v>0</v>
      </c>
      <c r="J27" s="99">
        <f t="shared" si="3"/>
        <v>0</v>
      </c>
      <c r="K27" s="38"/>
    </row>
    <row r="28" ht="33.75" customHeight="1">
      <c r="A28" s="92"/>
      <c r="B28" s="93"/>
      <c r="C28" s="94"/>
      <c r="D28" s="100"/>
      <c r="E28" s="101"/>
      <c r="F28" s="101"/>
      <c r="G28" s="97"/>
      <c r="H28" s="102"/>
      <c r="I28" s="101"/>
      <c r="J28" s="103"/>
      <c r="K28" s="38"/>
    </row>
    <row r="29" ht="33.75" customHeight="1">
      <c r="A29" s="92"/>
      <c r="B29" s="93"/>
      <c r="C29" s="94"/>
      <c r="D29" s="100"/>
      <c r="E29" s="101"/>
      <c r="F29" s="101"/>
      <c r="G29" s="97"/>
      <c r="H29" s="104"/>
      <c r="I29" s="101"/>
      <c r="J29" s="103"/>
      <c r="K29" s="38"/>
    </row>
    <row r="30" ht="33.75" customHeight="1">
      <c r="A30" s="92"/>
      <c r="B30" s="93"/>
      <c r="C30" s="94"/>
      <c r="D30" s="100"/>
      <c r="E30" s="101"/>
      <c r="F30" s="101"/>
      <c r="G30" s="97"/>
      <c r="H30" s="104"/>
      <c r="I30" s="101"/>
      <c r="J30" s="103"/>
      <c r="K30" s="38"/>
    </row>
    <row r="31" ht="33.75" customHeight="1">
      <c r="A31" s="92"/>
      <c r="B31" s="93"/>
      <c r="C31" s="105"/>
      <c r="D31" s="100"/>
      <c r="E31" s="101"/>
      <c r="F31" s="101"/>
      <c r="G31" s="97"/>
      <c r="H31" s="104"/>
      <c r="I31" s="101"/>
      <c r="J31" s="103"/>
      <c r="K31" s="38"/>
    </row>
    <row r="32" ht="33.75" customHeight="1">
      <c r="A32" s="92"/>
      <c r="B32" s="93"/>
      <c r="C32" s="105"/>
      <c r="D32" s="100"/>
      <c r="E32" s="101"/>
      <c r="F32" s="101"/>
      <c r="G32" s="97"/>
      <c r="H32" s="104"/>
      <c r="I32" s="101"/>
      <c r="J32" s="103"/>
      <c r="K32" s="38"/>
    </row>
    <row r="33" ht="33.75" customHeight="1">
      <c r="A33" s="92"/>
      <c r="B33" s="93"/>
      <c r="C33" s="105"/>
      <c r="D33" s="100"/>
      <c r="E33" s="101"/>
      <c r="F33" s="101"/>
      <c r="G33" s="97"/>
      <c r="H33" s="104"/>
      <c r="I33" s="101"/>
      <c r="J33" s="103"/>
      <c r="K33" s="38"/>
    </row>
    <row r="34" ht="33.75" customHeight="1">
      <c r="A34" s="92"/>
      <c r="B34" s="93"/>
      <c r="C34" s="105"/>
      <c r="D34" s="100"/>
      <c r="E34" s="101"/>
      <c r="F34" s="101"/>
      <c r="G34" s="97"/>
      <c r="H34" s="104"/>
      <c r="I34" s="101"/>
      <c r="J34" s="103"/>
      <c r="K34" s="38"/>
    </row>
    <row r="35" ht="33.75" customHeight="1">
      <c r="A35" s="92"/>
      <c r="B35" s="93"/>
      <c r="C35" s="105"/>
      <c r="D35" s="100"/>
      <c r="E35" s="101"/>
      <c r="F35" s="101"/>
      <c r="G35" s="97"/>
      <c r="H35" s="104"/>
      <c r="I35" s="101"/>
      <c r="J35" s="103"/>
      <c r="K35" s="38"/>
    </row>
    <row r="36" ht="33.75" customHeight="1">
      <c r="A36" s="92"/>
      <c r="B36" s="93"/>
      <c r="C36" s="105"/>
      <c r="D36" s="100"/>
      <c r="E36" s="101"/>
      <c r="F36" s="101"/>
      <c r="G36" s="97"/>
      <c r="H36" s="104"/>
      <c r="I36" s="101"/>
      <c r="J36" s="103"/>
      <c r="K36" s="38"/>
    </row>
    <row r="37" ht="33.75" customHeight="1">
      <c r="A37" s="92"/>
      <c r="B37" s="93"/>
      <c r="C37" s="105"/>
      <c r="D37" s="100"/>
      <c r="E37" s="101"/>
      <c r="F37" s="101"/>
      <c r="G37" s="97"/>
      <c r="H37" s="104"/>
      <c r="I37" s="101"/>
      <c r="J37" s="103"/>
      <c r="K37" s="38"/>
    </row>
    <row r="38" ht="33.75" customHeight="1">
      <c r="A38" s="92"/>
      <c r="B38" s="93"/>
      <c r="C38" s="105"/>
      <c r="D38" s="100"/>
      <c r="E38" s="101"/>
      <c r="F38" s="101"/>
      <c r="G38" s="97"/>
      <c r="H38" s="104"/>
      <c r="I38" s="101"/>
      <c r="J38" s="103"/>
      <c r="K38" s="38"/>
    </row>
    <row r="39" ht="33.75" customHeight="1">
      <c r="A39" s="92"/>
      <c r="B39" s="93"/>
      <c r="C39" s="105"/>
      <c r="D39" s="100"/>
      <c r="E39" s="101"/>
      <c r="F39" s="101"/>
      <c r="G39" s="97"/>
      <c r="H39" s="104"/>
      <c r="I39" s="101"/>
      <c r="J39" s="103"/>
      <c r="K39" s="38"/>
    </row>
  </sheetData>
  <mergeCells count="11">
    <mergeCell ref="D4:F4"/>
    <mergeCell ref="D5:F5"/>
    <mergeCell ref="H5:I5"/>
    <mergeCell ref="D6:F6"/>
    <mergeCell ref="A1:B2"/>
    <mergeCell ref="C1:K1"/>
    <mergeCell ref="C2:G2"/>
    <mergeCell ref="H2:J2"/>
    <mergeCell ref="D3:F3"/>
    <mergeCell ref="H3:I3"/>
    <mergeCell ref="H4:I4"/>
  </mergeCells>
  <conditionalFormatting sqref="A9:B39">
    <cfRule type="expression" dxfId="3" priority="1">
      <formula>(($B9&lt;$D$4)+($B9&gt;$D$5))*($B9&lt;&gt;"")</formula>
    </cfRule>
  </conditionalFormatting>
  <conditionalFormatting sqref="D4:D5">
    <cfRule type="notContainsBlanks" dxfId="4" priority="2">
      <formula>LEN(TRIM(D4))&gt;0</formula>
    </cfRule>
  </conditionalFormatting>
  <conditionalFormatting sqref="E9:E39">
    <cfRule type="expression" dxfId="3" priority="3">
      <formula>SUMIF($B$9:$B$16,$B9,$E$9:$E$16)&gt;$H$4</formula>
    </cfRule>
  </conditionalFormatting>
  <conditionalFormatting sqref="E9:F39">
    <cfRule type="expression" dxfId="3" priority="4">
      <formula>E9&lt;0</formula>
    </cfRule>
  </conditionalFormatting>
  <conditionalFormatting sqref="G9:H39">
    <cfRule type="expression" dxfId="3" priority="5">
      <formula>(#REF!&lt;&gt;"")*($G9&lt;&gt;"")*(#REF!&lt;$G9)</formula>
    </cfRule>
  </conditionalFormatting>
  <printOptions horizontalCentered="1"/>
  <pageMargins bottom="0.75" footer="0.0" header="0.0" left="0.25" right="0.25" top="0.75"/>
  <pageSetup fitToHeight="0" paperSize="9" orientation="landscape"/>
  <headerFooter>
    <oddFooter>&amp;CPage &amp;P of 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2017-12-21T05:21:32Z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2017-12-21T05:21:35.5067277Z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